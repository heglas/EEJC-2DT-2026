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heglasoliveira_professor_educacao_sp_gov_br/Documents/Documentos/PROFESSOR/2026/2DT/Planilhas/"/>
    </mc:Choice>
  </mc:AlternateContent>
  <xr:revisionPtr revIDLastSave="0" documentId="8_{5645CA10-4704-412B-8491-CF8DB8379427}" xr6:coauthVersionLast="47" xr6:coauthVersionMax="47" xr10:uidLastSave="{00000000-0000-0000-0000-000000000000}"/>
  <bookViews>
    <workbookView xWindow="-110" yWindow="-110" windowWidth="19420" windowHeight="10300" xr2:uid="{83ADB4C8-031B-44BE-ABF1-441226A81C6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13" i="2"/>
  <c r="B12" i="2"/>
  <c r="B11" i="2"/>
  <c r="B10" i="2"/>
  <c r="B8" i="2"/>
  <c r="B6" i="2"/>
  <c r="B5" i="2"/>
  <c r="B4" i="2"/>
  <c r="B3" i="2"/>
  <c r="B2" i="2"/>
  <c r="I6" i="1"/>
  <c r="I5" i="1"/>
  <c r="I4" i="1"/>
  <c r="I3" i="1"/>
  <c r="I1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<sst xmlns="http://schemas.openxmlformats.org/spreadsheetml/2006/main" count="44" uniqueCount="26">
  <si>
    <t>Nota</t>
  </si>
  <si>
    <t>presença</t>
  </si>
  <si>
    <t>bruno</t>
  </si>
  <si>
    <t>Carlos</t>
  </si>
  <si>
    <t>Daniel</t>
  </si>
  <si>
    <t>Elisa</t>
  </si>
  <si>
    <t>Felipe</t>
  </si>
  <si>
    <t>Gabi</t>
  </si>
  <si>
    <t>Hugo</t>
  </si>
  <si>
    <t>Iara</t>
  </si>
  <si>
    <t>João</t>
  </si>
  <si>
    <t>P</t>
  </si>
  <si>
    <t>F</t>
  </si>
  <si>
    <t>SOMA</t>
  </si>
  <si>
    <t>Média</t>
  </si>
  <si>
    <t>minimo</t>
  </si>
  <si>
    <t>maximo</t>
  </si>
  <si>
    <t>menor</t>
  </si>
  <si>
    <t>maior</t>
  </si>
  <si>
    <t>quantidade de alunos</t>
  </si>
  <si>
    <t>Nota &gt; 7</t>
  </si>
  <si>
    <t>Nota &lt; 5</t>
  </si>
  <si>
    <t>Com frequencia</t>
  </si>
  <si>
    <t>Sem frequencia</t>
  </si>
  <si>
    <t>Quantidade de alunos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</si>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</sst>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05F6-01A8-4562-BDD5-16B65D79680E}">
  <dimension ref="A1:I11"/>
  <sheetViews>
    <sheetView tabSelected="1" workbookViewId="0">
      <selection activeCell="D8" sqref="D8"/>
    </sheetView>
  </sheetViews>
  <sheetFormatPr defaultRowHeight="14.5" x14ac:dyDescent="0.35"/>
  <cols>
    <col min="5" max="5" width="14.54296875" customWidth="1"/>
    <col min="8" max="8" width="19.08984375" customWidth="1"/>
  </cols>
  <sheetData>
    <row r="1" spans="1:9" x14ac:dyDescent="0.35">
      <c r="B1" s="1" t="s">
        <v>0</v>
      </c>
      <c r="C1" s="1" t="s">
        <v>1</v>
      </c>
      <c r="E1" s="3" t="s">
        <v>13</v>
      </c>
      <c r="F1" s="7">
        <f>SUM(B2:B11)</f>
        <v>71.5</v>
      </c>
      <c r="H1" s="9" t="s">
        <v>24</v>
      </c>
      <c r="I1" s="8">
        <f>COUNTA(B2:B11)</f>
        <v>10</v>
      </c>
    </row>
    <row r="2" spans="1:9" x14ac:dyDescent="0.35">
      <c r="A2" s="12" t="s">
        <v>25</v>
      </c>
      <c r="B2" s="2">
        <v>8</v>
      </c>
      <c r="C2" s="2" t="s">
        <v>11</v>
      </c>
      <c r="E2" s="3" t="s">
        <v>14</v>
      </c>
      <c r="F2" s="7">
        <f>AVERAGE(B2:B11)</f>
        <v>7.15</v>
      </c>
      <c r="H2" s="9"/>
      <c r="I2" s="8"/>
    </row>
    <row r="3" spans="1:9" x14ac:dyDescent="0.35">
      <c r="A3" s="12" t="s">
        <v>2</v>
      </c>
      <c r="B3" s="2">
        <v>6.5</v>
      </c>
      <c r="C3" s="2" t="s">
        <v>12</v>
      </c>
      <c r="E3" s="3" t="s">
        <v>15</v>
      </c>
      <c r="F3" s="7">
        <f>MIN(B2:B11)</f>
        <v>4</v>
      </c>
      <c r="H3" s="10" t="s">
        <v>20</v>
      </c>
      <c r="I3" s="7">
        <f>COUNTIF(B2:B11,"&gt;7")</f>
        <v>5</v>
      </c>
    </row>
    <row r="4" spans="1:9" x14ac:dyDescent="0.35">
      <c r="A4" s="12" t="s">
        <v>3</v>
      </c>
      <c r="B4" s="2">
        <v>9</v>
      </c>
      <c r="C4" s="2" t="s">
        <v>11</v>
      </c>
      <c r="E4" s="3" t="s">
        <v>16</v>
      </c>
      <c r="F4" s="7">
        <f>MAX(B2:B11)</f>
        <v>10</v>
      </c>
      <c r="H4" s="11" t="s">
        <v>21</v>
      </c>
      <c r="I4" s="7">
        <f>COUNTIF(B2:B11,"&lt;5")</f>
        <v>1</v>
      </c>
    </row>
    <row r="5" spans="1:9" x14ac:dyDescent="0.35">
      <c r="A5" s="12" t="s">
        <v>4</v>
      </c>
      <c r="B5" s="2">
        <v>5</v>
      </c>
      <c r="C5" s="2" t="s">
        <v>11</v>
      </c>
      <c r="E5" s="3" t="s">
        <v>17</v>
      </c>
      <c r="F5" s="7">
        <f>SMALL(B2:B11,2)</f>
        <v>5</v>
      </c>
      <c r="H5" s="11" t="s">
        <v>22</v>
      </c>
      <c r="I5" s="7">
        <f>COUNTIF(C2:C11,"=P")</f>
        <v>8</v>
      </c>
    </row>
    <row r="6" spans="1:9" x14ac:dyDescent="0.35">
      <c r="A6" s="12" t="s">
        <v>5</v>
      </c>
      <c r="B6" s="2">
        <v>7.5</v>
      </c>
      <c r="C6" s="2" t="s">
        <v>11</v>
      </c>
      <c r="E6" s="3" t="s">
        <v>18</v>
      </c>
      <c r="F6" s="7">
        <f>LARGE(B2:B11,3)</f>
        <v>8.5</v>
      </c>
      <c r="H6" s="11" t="s">
        <v>23</v>
      </c>
      <c r="I6" s="7">
        <f>COUNTIF(C2:C11,"=F")</f>
        <v>2</v>
      </c>
    </row>
    <row r="7" spans="1:9" x14ac:dyDescent="0.35">
      <c r="A7" s="12" t="s">
        <v>6</v>
      </c>
      <c r="B7" s="2">
        <v>10</v>
      </c>
      <c r="C7" s="2" t="s">
        <v>12</v>
      </c>
    </row>
    <row r="8" spans="1:9" x14ac:dyDescent="0.35">
      <c r="A8" s="12" t="s">
        <v>7</v>
      </c>
      <c r="B8" s="2">
        <v>8.5</v>
      </c>
      <c r="C8" s="2" t="s">
        <v>11</v>
      </c>
    </row>
    <row r="9" spans="1:9" x14ac:dyDescent="0.35">
      <c r="A9" s="12" t="s">
        <v>8</v>
      </c>
      <c r="B9" s="2">
        <v>4</v>
      </c>
      <c r="C9" s="2" t="s">
        <v>11</v>
      </c>
    </row>
    <row r="10" spans="1:9" x14ac:dyDescent="0.35">
      <c r="A10" s="12" t="s">
        <v>9</v>
      </c>
      <c r="B10" s="2">
        <v>7</v>
      </c>
      <c r="C10" s="2" t="s">
        <v>11</v>
      </c>
    </row>
    <row r="11" spans="1:9" x14ac:dyDescent="0.35">
      <c r="A11" s="12" t="s">
        <v>10</v>
      </c>
      <c r="B11" s="2">
        <v>6</v>
      </c>
      <c r="C11" s="2" t="s">
        <v>11</v>
      </c>
    </row>
  </sheetData>
  <mergeCells count="2">
    <mergeCell ref="H1:H2"/>
    <mergeCell ref="I1:I2"/>
  </mergeCells>
  <conditionalFormatting sqref="B2:B11">
    <cfRule type="cellIs" dxfId="0" priority="2" operator="greaterThan">
      <formula>6</formula>
    </cfRule>
    <cfRule type="cellIs" dxfId="1" priority="1" operator="lessThan">
      <formula>6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F8B0-8DB5-4061-9FC4-C3CDDEB1C658}">
  <dimension ref="A1:B13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13</v>
      </c>
      <c r="B1">
        <f>SUM(Planilha1!B2:B11)</f>
        <v>71.5</v>
      </c>
    </row>
    <row r="2" spans="1:2" x14ac:dyDescent="0.35">
      <c r="A2" t="s">
        <v>14</v>
      </c>
      <c r="B2" t="e">
        <f>AVERAGE(#REF!)</f>
        <v>#REF!</v>
      </c>
    </row>
    <row r="3" spans="1:2" x14ac:dyDescent="0.35">
      <c r="A3" t="s">
        <v>15</v>
      </c>
      <c r="B3" t="e">
        <f>MIN(#REF!)</f>
        <v>#REF!</v>
      </c>
    </row>
    <row r="4" spans="1:2" x14ac:dyDescent="0.35">
      <c r="A4" t="s">
        <v>16</v>
      </c>
      <c r="B4" t="e">
        <f>MAX(#REF!)</f>
        <v>#REF!</v>
      </c>
    </row>
    <row r="5" spans="1:2" x14ac:dyDescent="0.35">
      <c r="A5" t="s">
        <v>17</v>
      </c>
      <c r="B5" t="e">
        <f>SMALL(#REF!,2)</f>
        <v>#REF!</v>
      </c>
    </row>
    <row r="6" spans="1:2" x14ac:dyDescent="0.35">
      <c r="A6" t="s">
        <v>18</v>
      </c>
      <c r="B6" t="e">
        <f>LARGE(#REF!,3)</f>
        <v>#REF!</v>
      </c>
    </row>
    <row r="8" spans="1:2" x14ac:dyDescent="0.35">
      <c r="A8" s="5" t="s">
        <v>19</v>
      </c>
      <c r="B8" s="6">
        <f>COUNTA(#REF!)</f>
        <v>1</v>
      </c>
    </row>
    <row r="9" spans="1:2" x14ac:dyDescent="0.35">
      <c r="A9" s="5"/>
      <c r="B9" s="6"/>
    </row>
    <row r="10" spans="1:2" x14ac:dyDescent="0.35">
      <c r="A10" s="4" t="s">
        <v>20</v>
      </c>
      <c r="B10" t="e">
        <f>COUNTIF(#REF!,"&gt;7")</f>
        <v>#REF!</v>
      </c>
    </row>
    <row r="11" spans="1:2" x14ac:dyDescent="0.35">
      <c r="A11" t="s">
        <v>21</v>
      </c>
      <c r="B11" t="e">
        <f>COUNTIF(#REF!,"&lt;5")</f>
        <v>#REF!</v>
      </c>
    </row>
    <row r="12" spans="1:2" x14ac:dyDescent="0.35">
      <c r="A12" t="s">
        <v>22</v>
      </c>
      <c r="B12" t="e">
        <f>COUNTIF(#REF!,"=P")</f>
        <v>#REF!</v>
      </c>
    </row>
    <row r="13" spans="1:2" x14ac:dyDescent="0.35">
      <c r="A13" t="s">
        <v>23</v>
      </c>
      <c r="B13" t="e">
        <f>COUNTIF(#REF!,"=F")</f>
        <v>#REF!</v>
      </c>
    </row>
  </sheetData>
  <mergeCells count="2">
    <mergeCell ref="A8:A9"/>
    <mergeCell ref="B8:B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Heglas Moreira De Oliveira</dc:creator>
  <cp:lastModifiedBy>Heglas Moreira De Oliveira</cp:lastModifiedBy>
  <dcterms:created xsi:type="dcterms:W3CDTF">2026-03-17T11:40:09Z</dcterms:created>
  <dcterms:modified xsi:type="dcterms:W3CDTF">2026-03-17T14:18:07Z</dcterms:modified>
</cp:coreProperties>
</file>